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lnphng/Documents/FIT1013/"/>
    </mc:Choice>
  </mc:AlternateContent>
  <xr:revisionPtr revIDLastSave="0" documentId="8_{74307F77-515C-1941-8569-F66AFB89E53D}" xr6:coauthVersionLast="47" xr6:coauthVersionMax="47" xr10:uidLastSave="{00000000-0000-0000-0000-000000000000}"/>
  <bookViews>
    <workbookView xWindow="0" yWindow="500" windowWidth="19420" windowHeight="10420" activeTab="2" xr2:uid="{00000000-000D-0000-FFFF-FFFF00000000}"/>
  </bookViews>
  <sheets>
    <sheet name="Customer" sheetId="1" r:id="rId1"/>
    <sheet name="Dress" sheetId="2" r:id="rId2"/>
    <sheet name="Quantity" sheetId="5" r:id="rId3"/>
    <sheet name="Rental" sheetId="3" r:id="rId4"/>
  </sheets>
  <definedNames>
    <definedName name="Customer">Customer!$A$1:$I$21</definedName>
    <definedName name="Dress">Dress!$A$1:$F$21</definedName>
    <definedName name="Rental">Rental!$B$1:$I$1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3" l="1"/>
  <c r="J6" i="3"/>
  <c r="J5" i="3"/>
  <c r="J4" i="3"/>
  <c r="J3" i="3"/>
  <c r="J2" i="3"/>
</calcChain>
</file>

<file path=xl/sharedStrings.xml><?xml version="1.0" encoding="utf-8"?>
<sst xmlns="http://schemas.openxmlformats.org/spreadsheetml/2006/main" count="274" uniqueCount="236">
  <si>
    <t>CustomerID</t>
  </si>
  <si>
    <t>LastName</t>
  </si>
  <si>
    <t>FirstName</t>
  </si>
  <si>
    <t>Address</t>
  </si>
  <si>
    <t>City</t>
  </si>
  <si>
    <t>State</t>
  </si>
  <si>
    <t>Postcode</t>
  </si>
  <si>
    <t>Telephone</t>
  </si>
  <si>
    <t>EmailAddress</t>
  </si>
  <si>
    <t>Lavonne</t>
  </si>
  <si>
    <t>Esco</t>
  </si>
  <si>
    <t>377 Excalibur Dr</t>
  </si>
  <si>
    <t>Macks Creek</t>
  </si>
  <si>
    <t>VIC</t>
  </si>
  <si>
    <t>3971</t>
  </si>
  <si>
    <t>0444359546</t>
  </si>
  <si>
    <t>lavonne.esco@yahoo.com</t>
  </si>
  <si>
    <t>Veda</t>
  </si>
  <si>
    <t>Mishkin</t>
  </si>
  <si>
    <t>98247 Russell Blvd</t>
  </si>
  <si>
    <t>Woolamai</t>
  </si>
  <si>
    <t>3995</t>
  </si>
  <si>
    <t>0497868525</t>
  </si>
  <si>
    <t>veda.mishkin@mishkin.com.au</t>
  </si>
  <si>
    <t>Theron</t>
  </si>
  <si>
    <t>Jarding</t>
  </si>
  <si>
    <t>8839 Ventura Blvd</t>
  </si>
  <si>
    <t>Tuggerawong</t>
  </si>
  <si>
    <t>NSW</t>
  </si>
  <si>
    <t>2259</t>
  </si>
  <si>
    <t>0461862457</t>
  </si>
  <si>
    <t>tjarding@hotmail.com</t>
  </si>
  <si>
    <t>Jamal</t>
  </si>
  <si>
    <t>Korczynski</t>
  </si>
  <si>
    <t>404 Broxton Ave</t>
  </si>
  <si>
    <t>Flinders</t>
  </si>
  <si>
    <t>2529</t>
  </si>
  <si>
    <t>0427970674</t>
  </si>
  <si>
    <t>jamal_korczynski@gmail.com</t>
  </si>
  <si>
    <t>Millie</t>
  </si>
  <si>
    <t>Pirkl</t>
  </si>
  <si>
    <t>31 Schuyler Ave</t>
  </si>
  <si>
    <t>Emerald</t>
  </si>
  <si>
    <t>3782</t>
  </si>
  <si>
    <t>0441978907</t>
  </si>
  <si>
    <t>millie_pirkl@gmail.com</t>
  </si>
  <si>
    <t>Rose</t>
  </si>
  <si>
    <t>Jebb</t>
  </si>
  <si>
    <t>27916 Tarrytown Rd</t>
  </si>
  <si>
    <t>Burpengary</t>
  </si>
  <si>
    <t>QLD</t>
  </si>
  <si>
    <t>4505</t>
  </si>
  <si>
    <t>0496441929</t>
  </si>
  <si>
    <t>rose@jebb.net.au</t>
  </si>
  <si>
    <t>Fanny</t>
  </si>
  <si>
    <t>Stoneking</t>
  </si>
  <si>
    <t>50968 Kurtz St #45</t>
  </si>
  <si>
    <t>Dangar Island</t>
  </si>
  <si>
    <t>2083</t>
  </si>
  <si>
    <t>0465778983</t>
  </si>
  <si>
    <t>fstoneking@hotmail.com</t>
  </si>
  <si>
    <t>Catherin</t>
  </si>
  <si>
    <t>Aguele</t>
  </si>
  <si>
    <t>75962 E Drinker St</t>
  </si>
  <si>
    <t>Bateau Bay</t>
  </si>
  <si>
    <t>2261</t>
  </si>
  <si>
    <t>0444150950</t>
  </si>
  <si>
    <t>caguele@gmail.com</t>
  </si>
  <si>
    <t>Oren</t>
  </si>
  <si>
    <t>Lobosco</t>
  </si>
  <si>
    <t>1585 Salem Church Rd #59</t>
  </si>
  <si>
    <t>Fosterville</t>
  </si>
  <si>
    <t>3557</t>
  </si>
  <si>
    <t>0495838492</t>
  </si>
  <si>
    <t>olobosco@hotmail.com</t>
  </si>
  <si>
    <t>Aleta</t>
  </si>
  <si>
    <t>Poarch</t>
  </si>
  <si>
    <t>5 Liberty Ave</t>
  </si>
  <si>
    <t>Yelverton</t>
  </si>
  <si>
    <t>WA</t>
  </si>
  <si>
    <t>6280</t>
  </si>
  <si>
    <t>0419138629</t>
  </si>
  <si>
    <t>apoarch@gmail.com</t>
  </si>
  <si>
    <t>Melinda</t>
  </si>
  <si>
    <t>Fellhauer</t>
  </si>
  <si>
    <t>8275 Calle De Industrias</t>
  </si>
  <si>
    <t>Wattle Hill</t>
  </si>
  <si>
    <t>TAS</t>
  </si>
  <si>
    <t>7172</t>
  </si>
  <si>
    <t>0488223788</t>
  </si>
  <si>
    <t>melinda_fellhauer@fellhauer.com.au</t>
  </si>
  <si>
    <t>Lou</t>
  </si>
  <si>
    <t>Kriner</t>
  </si>
  <si>
    <t>39 Broad St</t>
  </si>
  <si>
    <t>Hillston</t>
  </si>
  <si>
    <t>2675</t>
  </si>
  <si>
    <t>0496387592</t>
  </si>
  <si>
    <t>lou.kriner@hotmail.com</t>
  </si>
  <si>
    <t>Kent</t>
  </si>
  <si>
    <t>Ivans</t>
  </si>
  <si>
    <t>56710 Euclid Ave</t>
  </si>
  <si>
    <t>Stonehaven</t>
  </si>
  <si>
    <t>3221</t>
  </si>
  <si>
    <t>0480676186</t>
  </si>
  <si>
    <t>kent_ivans@yahoo.com</t>
  </si>
  <si>
    <t>Camellia</t>
  </si>
  <si>
    <t>Pylant</t>
  </si>
  <si>
    <t>570 W Pine St</t>
  </si>
  <si>
    <t>Kennedy</t>
  </si>
  <si>
    <t>4816</t>
  </si>
  <si>
    <t>0423446913</t>
  </si>
  <si>
    <t>camellia_pylant@gmail.com</t>
  </si>
  <si>
    <t>Norah</t>
  </si>
  <si>
    <t>Daleo</t>
  </si>
  <si>
    <t>754 Sammis Ave</t>
  </si>
  <si>
    <t>Alvie</t>
  </si>
  <si>
    <t>3249</t>
  </si>
  <si>
    <t>0462327613</t>
  </si>
  <si>
    <t>ndaleo@daleo.net.au</t>
  </si>
  <si>
    <t>Reta</t>
  </si>
  <si>
    <t>Qazi</t>
  </si>
  <si>
    <t>1351 Simpson St</t>
  </si>
  <si>
    <t>Willunga</t>
  </si>
  <si>
    <t>SA</t>
  </si>
  <si>
    <t>5172</t>
  </si>
  <si>
    <t>0471106909</t>
  </si>
  <si>
    <t>reta.qazi@yahoo.com</t>
  </si>
  <si>
    <t>Roy</t>
  </si>
  <si>
    <t>Nybo</t>
  </si>
  <si>
    <t>823 Fishers Ln</t>
  </si>
  <si>
    <t>Cape Portland</t>
  </si>
  <si>
    <t>7264</t>
  </si>
  <si>
    <t>0416394795</t>
  </si>
  <si>
    <t>rnybo@nybo.net.au</t>
  </si>
  <si>
    <t>Pearlene</t>
  </si>
  <si>
    <t>Boudrie</t>
  </si>
  <si>
    <t>8978 W Henrietta Rd</t>
  </si>
  <si>
    <t>Glenmoral</t>
  </si>
  <si>
    <t>4719</t>
  </si>
  <si>
    <t>0462627260</t>
  </si>
  <si>
    <t>pboudrie@boudrie.net.au</t>
  </si>
  <si>
    <t>Sherill</t>
  </si>
  <si>
    <t>Klar</t>
  </si>
  <si>
    <t>87 Sylvan Ave</t>
  </si>
  <si>
    <t>Wooloowin</t>
  </si>
  <si>
    <t>4030</t>
  </si>
  <si>
    <t>0427991688</t>
  </si>
  <si>
    <t>sklar@hotmail.com</t>
  </si>
  <si>
    <t>Royal</t>
  </si>
  <si>
    <t>Costeira</t>
  </si>
  <si>
    <t>970 Waterloo Rd</t>
  </si>
  <si>
    <t>Placid Hills</t>
  </si>
  <si>
    <t>4343</t>
  </si>
  <si>
    <t>0480443612</t>
  </si>
  <si>
    <t>royal_costeira@costeira.com.au</t>
  </si>
  <si>
    <t>Tan</t>
  </si>
  <si>
    <t>Shoulder Dress</t>
  </si>
  <si>
    <t>Halston</t>
  </si>
  <si>
    <t>Natural</t>
  </si>
  <si>
    <t>Vixen</t>
  </si>
  <si>
    <t>Calvin Klein</t>
  </si>
  <si>
    <t>Navy</t>
  </si>
  <si>
    <t>Orchid</t>
  </si>
  <si>
    <t>Shoshanna</t>
  </si>
  <si>
    <t>Red</t>
  </si>
  <si>
    <t>Graceful</t>
  </si>
  <si>
    <t>Tracy Reese</t>
  </si>
  <si>
    <t>Black</t>
  </si>
  <si>
    <t>Lovely and feminine</t>
  </si>
  <si>
    <t>Anna Campbell</t>
  </si>
  <si>
    <t>White</t>
  </si>
  <si>
    <t>bridal couture</t>
  </si>
  <si>
    <t>Galia Lahav</t>
  </si>
  <si>
    <t>P by Pnina</t>
  </si>
  <si>
    <t>Pnina Tornai</t>
  </si>
  <si>
    <t>Gold</t>
  </si>
  <si>
    <t>Perfect Wave</t>
  </si>
  <si>
    <t>Pebbles</t>
  </si>
  <si>
    <t>Herve Leger</t>
  </si>
  <si>
    <t>Green</t>
  </si>
  <si>
    <t>Fern</t>
  </si>
  <si>
    <t>RVN</t>
  </si>
  <si>
    <t>Grey</t>
  </si>
  <si>
    <t>Seeds and Fruits</t>
  </si>
  <si>
    <t>Elie Tahari</t>
  </si>
  <si>
    <t>Flower Blossom</t>
  </si>
  <si>
    <t>Kate Spade</t>
  </si>
  <si>
    <t>Multi</t>
  </si>
  <si>
    <t>Circles of Ruffles</t>
  </si>
  <si>
    <t>Blue</t>
  </si>
  <si>
    <t>Shortcake Dress</t>
  </si>
  <si>
    <t>Vera Wang</t>
  </si>
  <si>
    <t>Rainbow</t>
  </si>
  <si>
    <t>Giorgio Armani</t>
  </si>
  <si>
    <t>Orange</t>
  </si>
  <si>
    <t>Wow</t>
  </si>
  <si>
    <t>Plain Sheath</t>
  </si>
  <si>
    <t>Donna Karan</t>
  </si>
  <si>
    <t>Preen Press</t>
  </si>
  <si>
    <t>Diane von Furstenberg</t>
  </si>
  <si>
    <t>Purple</t>
  </si>
  <si>
    <t>Wheatly</t>
  </si>
  <si>
    <t>Pink</t>
  </si>
  <si>
    <t>Paisley Lace</t>
  </si>
  <si>
    <t>RetailPrice</t>
  </si>
  <si>
    <t>RentalPrice</t>
  </si>
  <si>
    <t>Color</t>
  </si>
  <si>
    <t>DressName</t>
  </si>
  <si>
    <t>Designer</t>
  </si>
  <si>
    <t>DressID</t>
  </si>
  <si>
    <t>DeliveryAddress</t>
  </si>
  <si>
    <t>Good</t>
    <phoneticPr fontId="1" type="noConversion"/>
  </si>
  <si>
    <t>8839 Ventura Blvd, Tuggerawong, NSW 2259</t>
    <phoneticPr fontId="1" type="noConversion"/>
  </si>
  <si>
    <t>TotalAmount</t>
    <phoneticPr fontId="1" type="noConversion"/>
  </si>
  <si>
    <t>QoH</t>
    <phoneticPr fontId="1" type="noConversion"/>
  </si>
  <si>
    <t>Size</t>
    <phoneticPr fontId="1" type="noConversion"/>
  </si>
  <si>
    <t>8978 W Henrietta Rd, Glenmoral, QLD 4719</t>
    <phoneticPr fontId="1" type="noConversion"/>
  </si>
  <si>
    <t>RentalID</t>
    <phoneticPr fontId="1" type="noConversion"/>
  </si>
  <si>
    <t>DateRented</t>
    <phoneticPr fontId="1" type="noConversion"/>
  </si>
  <si>
    <t>DateReturned</t>
    <phoneticPr fontId="1" type="noConversion"/>
  </si>
  <si>
    <t>Quantity</t>
    <phoneticPr fontId="1" type="noConversion"/>
  </si>
  <si>
    <t>Damaged</t>
    <phoneticPr fontId="1" type="noConversion"/>
  </si>
  <si>
    <t>50968 Kurtz St #45, Dangar Island, NSW 2083</t>
    <phoneticPr fontId="1" type="noConversion"/>
  </si>
  <si>
    <t>50969 Kurtz St #45, Dangar Island, NSW 2083</t>
  </si>
  <si>
    <t>50970 Kurtz St #45, Dangar Island, NSW 2083</t>
  </si>
  <si>
    <t>N0101</t>
    <phoneticPr fontId="1" type="noConversion"/>
  </si>
  <si>
    <t>56710 Euclid Ave, Stonehaven, VIC 3221</t>
    <phoneticPr fontId="1" type="noConversion"/>
  </si>
  <si>
    <t>N0102</t>
    <phoneticPr fontId="1" type="noConversion"/>
  </si>
  <si>
    <t>N0103</t>
    <phoneticPr fontId="1" type="noConversion"/>
  </si>
  <si>
    <t>N0104</t>
    <phoneticPr fontId="1" type="noConversion"/>
  </si>
  <si>
    <t>ReturnCondition</t>
    <phoneticPr fontId="1" type="noConversion"/>
  </si>
  <si>
    <t>56711 Euclid Ave, Stonehaven, VIC 3221</t>
  </si>
  <si>
    <t>Lobosco 1585 Salem Church Rd #59, Fosterville, VIC 3557</t>
  </si>
  <si>
    <t>Costeira 970 Waterloo Rd, Placid Hills, QLD 4343</t>
    <phoneticPr fontId="1" type="noConversion"/>
  </si>
  <si>
    <t>N0106</t>
  </si>
  <si>
    <t>N0105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</si>
</sst>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$-409]* #,##0.00_);_([$$-409]* \(#,##0.00\);_([$$-409]* &quot;-&quot;??_);_(@_)"/>
  </numFmts>
  <fonts count="2" x14ac:knownFonts="1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2" borderId="0" xfId="0" applyFill="1"/>
    <xf numFmtId="164" fontId="0" fillId="0" borderId="0" xfId="0" applyNumberFormat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topLeftCell="A12" workbookViewId="0">
      <selection activeCell="B22" sqref="B22"/>
    </sheetView>
  </sheetViews>
  <sheetFormatPr baseColWidth="10" defaultColWidth="8.83203125" defaultRowHeight="15" x14ac:dyDescent="0.2"/>
  <cols>
    <col min="1" max="1" width="11.6640625" bestFit="1" customWidth="1"/>
    <col min="2" max="2" width="9.83203125" bestFit="1" customWidth="1"/>
    <col min="3" max="3" width="12.33203125" bestFit="1" customWidth="1"/>
    <col min="4" max="4" width="29.33203125" bestFit="1" customWidth="1"/>
    <col min="5" max="5" width="17.6640625" bestFit="1" customWidth="1"/>
    <col min="6" max="6" width="6" bestFit="1" customWidth="1"/>
    <col min="7" max="7" width="8.83203125" style="1"/>
    <col min="8" max="8" width="11.5" bestFit="1" customWidth="1"/>
    <col min="9" max="9" width="37.33203125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1" t="s">
        <v>6</v>
      </c>
      <c r="H1" t="s">
        <v>7</v>
      </c>
      <c r="I1" t="s">
        <v>8</v>
      </c>
    </row>
    <row r="2" spans="1:9" x14ac:dyDescent="0.2">
      <c r="A2">
        <v>11201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s="1" t="s">
        <v>14</v>
      </c>
      <c r="H2" t="s">
        <v>15</v>
      </c>
      <c r="I2" t="s">
        <v>16</v>
      </c>
    </row>
    <row r="3" spans="1:9" x14ac:dyDescent="0.2">
      <c r="A3">
        <v>11202</v>
      </c>
      <c r="B3" t="s">
        <v>17</v>
      </c>
      <c r="C3" t="s">
        <v>18</v>
      </c>
      <c r="D3" t="s">
        <v>19</v>
      </c>
      <c r="E3" t="s">
        <v>20</v>
      </c>
      <c r="F3" t="s">
        <v>13</v>
      </c>
      <c r="G3" s="1" t="s">
        <v>21</v>
      </c>
      <c r="H3" t="s">
        <v>22</v>
      </c>
      <c r="I3" t="s">
        <v>23</v>
      </c>
    </row>
    <row r="4" spans="1:9" x14ac:dyDescent="0.2">
      <c r="A4">
        <v>11203</v>
      </c>
      <c r="B4" t="s">
        <v>24</v>
      </c>
      <c r="C4" t="s">
        <v>25</v>
      </c>
      <c r="D4" t="s">
        <v>26</v>
      </c>
      <c r="E4" t="s">
        <v>27</v>
      </c>
      <c r="F4" t="s">
        <v>28</v>
      </c>
      <c r="G4" s="1" t="s">
        <v>29</v>
      </c>
      <c r="H4" t="s">
        <v>30</v>
      </c>
      <c r="I4" t="s">
        <v>31</v>
      </c>
    </row>
    <row r="5" spans="1:9" x14ac:dyDescent="0.2">
      <c r="A5">
        <v>11204</v>
      </c>
      <c r="B5" t="s">
        <v>32</v>
      </c>
      <c r="C5" t="s">
        <v>33</v>
      </c>
      <c r="D5" t="s">
        <v>34</v>
      </c>
      <c r="E5" t="s">
        <v>35</v>
      </c>
      <c r="F5" t="s">
        <v>28</v>
      </c>
      <c r="G5" s="1" t="s">
        <v>36</v>
      </c>
      <c r="H5" t="s">
        <v>37</v>
      </c>
      <c r="I5" t="s">
        <v>38</v>
      </c>
    </row>
    <row r="6" spans="1:9" x14ac:dyDescent="0.2">
      <c r="A6">
        <v>11205</v>
      </c>
      <c r="B6" t="s">
        <v>39</v>
      </c>
      <c r="C6" t="s">
        <v>40</v>
      </c>
      <c r="D6" t="s">
        <v>41</v>
      </c>
      <c r="E6" t="s">
        <v>42</v>
      </c>
      <c r="F6" t="s">
        <v>13</v>
      </c>
      <c r="G6" s="1" t="s">
        <v>43</v>
      </c>
      <c r="H6" t="s">
        <v>44</v>
      </c>
      <c r="I6" t="s">
        <v>45</v>
      </c>
    </row>
    <row r="7" spans="1:9" x14ac:dyDescent="0.2">
      <c r="A7">
        <v>11206</v>
      </c>
      <c r="B7" t="s">
        <v>46</v>
      </c>
      <c r="C7" t="s">
        <v>47</v>
      </c>
      <c r="D7" t="s">
        <v>48</v>
      </c>
      <c r="E7" t="s">
        <v>49</v>
      </c>
      <c r="F7" t="s">
        <v>50</v>
      </c>
      <c r="G7" s="1" t="s">
        <v>51</v>
      </c>
      <c r="H7" t="s">
        <v>52</v>
      </c>
      <c r="I7" t="s">
        <v>53</v>
      </c>
    </row>
    <row r="8" spans="1:9" x14ac:dyDescent="0.2">
      <c r="A8">
        <v>11207</v>
      </c>
      <c r="B8" t="s">
        <v>54</v>
      </c>
      <c r="C8" t="s">
        <v>55</v>
      </c>
      <c r="D8" t="s">
        <v>56</v>
      </c>
      <c r="E8" t="s">
        <v>57</v>
      </c>
      <c r="F8" t="s">
        <v>28</v>
      </c>
      <c r="G8" s="1" t="s">
        <v>58</v>
      </c>
      <c r="H8" t="s">
        <v>59</v>
      </c>
      <c r="I8" t="s">
        <v>60</v>
      </c>
    </row>
    <row r="9" spans="1:9" x14ac:dyDescent="0.2">
      <c r="A9">
        <v>11208</v>
      </c>
      <c r="B9" t="s">
        <v>61</v>
      </c>
      <c r="C9" t="s">
        <v>62</v>
      </c>
      <c r="D9" t="s">
        <v>63</v>
      </c>
      <c r="E9" t="s">
        <v>64</v>
      </c>
      <c r="F9" t="s">
        <v>28</v>
      </c>
      <c r="G9" s="1" t="s">
        <v>65</v>
      </c>
      <c r="H9" t="s">
        <v>66</v>
      </c>
      <c r="I9" t="s">
        <v>67</v>
      </c>
    </row>
    <row r="10" spans="1:9" x14ac:dyDescent="0.2">
      <c r="A10">
        <v>11209</v>
      </c>
      <c r="B10" t="s">
        <v>68</v>
      </c>
      <c r="C10" t="s">
        <v>69</v>
      </c>
      <c r="D10" t="s">
        <v>70</v>
      </c>
      <c r="E10" t="s">
        <v>71</v>
      </c>
      <c r="F10" t="s">
        <v>13</v>
      </c>
      <c r="G10" s="1" t="s">
        <v>72</v>
      </c>
      <c r="H10" t="s">
        <v>73</v>
      </c>
      <c r="I10" t="s">
        <v>74</v>
      </c>
    </row>
    <row r="11" spans="1:9" x14ac:dyDescent="0.2">
      <c r="A11">
        <v>11210</v>
      </c>
      <c r="B11" t="s">
        <v>75</v>
      </c>
      <c r="C11" t="s">
        <v>76</v>
      </c>
      <c r="D11" t="s">
        <v>77</v>
      </c>
      <c r="E11" t="s">
        <v>78</v>
      </c>
      <c r="F11" t="s">
        <v>79</v>
      </c>
      <c r="G11" s="1" t="s">
        <v>80</v>
      </c>
      <c r="H11" t="s">
        <v>81</v>
      </c>
      <c r="I11" t="s">
        <v>82</v>
      </c>
    </row>
    <row r="12" spans="1:9" x14ac:dyDescent="0.2">
      <c r="A12">
        <v>11211</v>
      </c>
      <c r="B12" t="s">
        <v>83</v>
      </c>
      <c r="C12" t="s">
        <v>84</v>
      </c>
      <c r="D12" t="s">
        <v>85</v>
      </c>
      <c r="E12" t="s">
        <v>86</v>
      </c>
      <c r="F12" t="s">
        <v>87</v>
      </c>
      <c r="G12" s="1" t="s">
        <v>88</v>
      </c>
      <c r="H12" t="s">
        <v>89</v>
      </c>
      <c r="I12" t="s">
        <v>90</v>
      </c>
    </row>
    <row r="13" spans="1:9" x14ac:dyDescent="0.2">
      <c r="A13">
        <v>11212</v>
      </c>
      <c r="B13" t="s">
        <v>91</v>
      </c>
      <c r="C13" t="s">
        <v>92</v>
      </c>
      <c r="D13" t="s">
        <v>93</v>
      </c>
      <c r="E13" t="s">
        <v>94</v>
      </c>
      <c r="F13" t="s">
        <v>28</v>
      </c>
      <c r="G13" s="1" t="s">
        <v>95</v>
      </c>
      <c r="H13" t="s">
        <v>96</v>
      </c>
      <c r="I13" t="s">
        <v>97</v>
      </c>
    </row>
    <row r="14" spans="1:9" x14ac:dyDescent="0.2">
      <c r="A14">
        <v>11213</v>
      </c>
      <c r="B14" t="s">
        <v>98</v>
      </c>
      <c r="C14" t="s">
        <v>99</v>
      </c>
      <c r="D14" t="s">
        <v>100</v>
      </c>
      <c r="E14" t="s">
        <v>101</v>
      </c>
      <c r="F14" t="s">
        <v>13</v>
      </c>
      <c r="G14" s="1" t="s">
        <v>102</v>
      </c>
      <c r="H14" t="s">
        <v>103</v>
      </c>
      <c r="I14" t="s">
        <v>104</v>
      </c>
    </row>
    <row r="15" spans="1:9" x14ac:dyDescent="0.2">
      <c r="A15">
        <v>11214</v>
      </c>
      <c r="B15" t="s">
        <v>105</v>
      </c>
      <c r="C15" t="s">
        <v>106</v>
      </c>
      <c r="D15" t="s">
        <v>107</v>
      </c>
      <c r="E15" t="s">
        <v>108</v>
      </c>
      <c r="F15" t="s">
        <v>50</v>
      </c>
      <c r="G15" s="1" t="s">
        <v>109</v>
      </c>
      <c r="H15" t="s">
        <v>110</v>
      </c>
      <c r="I15" t="s">
        <v>111</v>
      </c>
    </row>
    <row r="16" spans="1:9" x14ac:dyDescent="0.2">
      <c r="A16">
        <v>11215</v>
      </c>
      <c r="B16" t="s">
        <v>112</v>
      </c>
      <c r="C16" t="s">
        <v>113</v>
      </c>
      <c r="D16" t="s">
        <v>114</v>
      </c>
      <c r="E16" t="s">
        <v>115</v>
      </c>
      <c r="F16" t="s">
        <v>13</v>
      </c>
      <c r="G16" s="1" t="s">
        <v>116</v>
      </c>
      <c r="H16" t="s">
        <v>117</v>
      </c>
      <c r="I16" t="s">
        <v>118</v>
      </c>
    </row>
    <row r="17" spans="1:9" x14ac:dyDescent="0.2">
      <c r="A17">
        <v>11216</v>
      </c>
      <c r="B17" t="s">
        <v>119</v>
      </c>
      <c r="C17" t="s">
        <v>120</v>
      </c>
      <c r="D17" t="s">
        <v>121</v>
      </c>
      <c r="E17" t="s">
        <v>122</v>
      </c>
      <c r="F17" t="s">
        <v>123</v>
      </c>
      <c r="G17" s="1" t="s">
        <v>124</v>
      </c>
      <c r="H17" t="s">
        <v>125</v>
      </c>
      <c r="I17" t="s">
        <v>126</v>
      </c>
    </row>
    <row r="18" spans="1:9" x14ac:dyDescent="0.2">
      <c r="A18">
        <v>11217</v>
      </c>
      <c r="B18" t="s">
        <v>127</v>
      </c>
      <c r="C18" t="s">
        <v>128</v>
      </c>
      <c r="D18" t="s">
        <v>129</v>
      </c>
      <c r="E18" t="s">
        <v>130</v>
      </c>
      <c r="F18" t="s">
        <v>87</v>
      </c>
      <c r="G18" s="1" t="s">
        <v>131</v>
      </c>
      <c r="H18" t="s">
        <v>132</v>
      </c>
      <c r="I18" t="s">
        <v>133</v>
      </c>
    </row>
    <row r="19" spans="1:9" x14ac:dyDescent="0.2">
      <c r="A19">
        <v>11218</v>
      </c>
      <c r="B19" t="s">
        <v>134</v>
      </c>
      <c r="C19" t="s">
        <v>135</v>
      </c>
      <c r="D19" t="s">
        <v>136</v>
      </c>
      <c r="E19" t="s">
        <v>137</v>
      </c>
      <c r="F19" t="s">
        <v>50</v>
      </c>
      <c r="G19" s="1" t="s">
        <v>138</v>
      </c>
      <c r="H19" t="s">
        <v>139</v>
      </c>
      <c r="I19" t="s">
        <v>140</v>
      </c>
    </row>
    <row r="20" spans="1:9" x14ac:dyDescent="0.2">
      <c r="A20">
        <v>11219</v>
      </c>
      <c r="B20" t="s">
        <v>141</v>
      </c>
      <c r="C20" t="s">
        <v>142</v>
      </c>
      <c r="D20" t="s">
        <v>143</v>
      </c>
      <c r="E20" t="s">
        <v>144</v>
      </c>
      <c r="F20" t="s">
        <v>50</v>
      </c>
      <c r="G20" s="1" t="s">
        <v>145</v>
      </c>
      <c r="H20" t="s">
        <v>146</v>
      </c>
      <c r="I20" t="s">
        <v>147</v>
      </c>
    </row>
    <row r="21" spans="1:9" x14ac:dyDescent="0.2">
      <c r="A21">
        <v>11220</v>
      </c>
      <c r="B21" t="s">
        <v>148</v>
      </c>
      <c r="C21" t="s">
        <v>149</v>
      </c>
      <c r="D21" t="s">
        <v>150</v>
      </c>
      <c r="E21" t="s">
        <v>151</v>
      </c>
      <c r="F21" t="s">
        <v>50</v>
      </c>
      <c r="G21" s="1" t="s">
        <v>152</v>
      </c>
      <c r="H21" t="s">
        <v>153</v>
      </c>
      <c r="I21" t="s">
        <v>154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FAEF-7D10-4AC0-A9A7-C659CC0BB421}">
  <sheetPr codeName="Sheet2"/>
  <dimension ref="A1:L22"/>
  <sheetViews>
    <sheetView topLeftCell="A12" workbookViewId="0">
      <selection activeCell="C22" sqref="C22"/>
    </sheetView>
  </sheetViews>
  <sheetFormatPr baseColWidth="10" defaultColWidth="8.83203125" defaultRowHeight="15" x14ac:dyDescent="0.2"/>
  <cols>
    <col min="2" max="2" width="21.1640625" bestFit="1" customWidth="1"/>
    <col min="3" max="3" width="19.33203125" bestFit="1" customWidth="1"/>
    <col min="4" max="4" width="7.6640625" bestFit="1" customWidth="1"/>
    <col min="5" max="5" width="11.1640625" bestFit="1" customWidth="1"/>
    <col min="6" max="6" width="10.6640625" bestFit="1" customWidth="1"/>
  </cols>
  <sheetData>
    <row r="1" spans="1:6" x14ac:dyDescent="0.2">
      <c r="A1" t="s">
        <v>209</v>
      </c>
      <c r="B1" t="s">
        <v>208</v>
      </c>
      <c r="C1" t="s">
        <v>207</v>
      </c>
      <c r="D1" t="s">
        <v>206</v>
      </c>
      <c r="E1" t="s">
        <v>205</v>
      </c>
      <c r="F1" t="s">
        <v>204</v>
      </c>
    </row>
    <row r="2" spans="1:6" x14ac:dyDescent="0.2">
      <c r="A2">
        <v>101</v>
      </c>
      <c r="B2" t="s">
        <v>169</v>
      </c>
      <c r="C2" t="s">
        <v>168</v>
      </c>
      <c r="D2" t="s">
        <v>167</v>
      </c>
      <c r="E2">
        <v>150</v>
      </c>
      <c r="F2">
        <v>4780</v>
      </c>
    </row>
    <row r="3" spans="1:6" x14ac:dyDescent="0.2">
      <c r="A3">
        <v>102</v>
      </c>
      <c r="B3" t="s">
        <v>160</v>
      </c>
      <c r="C3" t="s">
        <v>195</v>
      </c>
      <c r="D3" t="s">
        <v>194</v>
      </c>
      <c r="E3">
        <v>165</v>
      </c>
      <c r="F3">
        <v>3980</v>
      </c>
    </row>
    <row r="4" spans="1:6" x14ac:dyDescent="0.2">
      <c r="A4">
        <v>103</v>
      </c>
      <c r="B4" t="s">
        <v>160</v>
      </c>
      <c r="C4" t="s">
        <v>159</v>
      </c>
      <c r="D4" t="s">
        <v>158</v>
      </c>
      <c r="E4">
        <v>175</v>
      </c>
      <c r="F4">
        <v>2998</v>
      </c>
    </row>
    <row r="5" spans="1:6" x14ac:dyDescent="0.2">
      <c r="A5">
        <v>104</v>
      </c>
      <c r="B5" t="s">
        <v>199</v>
      </c>
      <c r="C5" t="s">
        <v>198</v>
      </c>
      <c r="D5" t="s">
        <v>189</v>
      </c>
      <c r="E5">
        <v>150</v>
      </c>
      <c r="F5">
        <v>2450</v>
      </c>
    </row>
    <row r="6" spans="1:6" x14ac:dyDescent="0.2">
      <c r="A6">
        <v>105</v>
      </c>
      <c r="B6" t="s">
        <v>197</v>
      </c>
      <c r="C6" t="s">
        <v>196</v>
      </c>
      <c r="D6" t="s">
        <v>167</v>
      </c>
      <c r="E6">
        <v>50</v>
      </c>
      <c r="F6">
        <v>2395</v>
      </c>
    </row>
    <row r="7" spans="1:6" x14ac:dyDescent="0.2">
      <c r="A7">
        <v>106</v>
      </c>
      <c r="B7" t="s">
        <v>184</v>
      </c>
      <c r="C7" t="s">
        <v>201</v>
      </c>
      <c r="D7" t="s">
        <v>200</v>
      </c>
      <c r="E7">
        <v>100</v>
      </c>
      <c r="F7">
        <v>3698</v>
      </c>
    </row>
    <row r="8" spans="1:6" x14ac:dyDescent="0.2">
      <c r="A8">
        <v>107</v>
      </c>
      <c r="B8" t="s">
        <v>184</v>
      </c>
      <c r="C8" t="s">
        <v>183</v>
      </c>
      <c r="D8" t="s">
        <v>182</v>
      </c>
      <c r="E8">
        <v>195</v>
      </c>
      <c r="F8">
        <v>3980</v>
      </c>
    </row>
    <row r="9" spans="1:6" x14ac:dyDescent="0.2">
      <c r="A9">
        <v>108</v>
      </c>
      <c r="B9" t="s">
        <v>172</v>
      </c>
      <c r="C9" t="s">
        <v>171</v>
      </c>
      <c r="D9" t="s">
        <v>170</v>
      </c>
      <c r="E9">
        <v>199</v>
      </c>
      <c r="F9">
        <v>3300</v>
      </c>
    </row>
    <row r="10" spans="1:6" x14ac:dyDescent="0.2">
      <c r="A10">
        <v>109</v>
      </c>
      <c r="B10" t="s">
        <v>193</v>
      </c>
      <c r="C10" t="s">
        <v>192</v>
      </c>
      <c r="D10" t="s">
        <v>187</v>
      </c>
      <c r="E10">
        <v>150</v>
      </c>
      <c r="F10">
        <v>3490</v>
      </c>
    </row>
    <row r="11" spans="1:6" x14ac:dyDescent="0.2">
      <c r="A11">
        <v>110</v>
      </c>
      <c r="B11" t="s">
        <v>157</v>
      </c>
      <c r="C11" t="s">
        <v>176</v>
      </c>
      <c r="D11" t="s">
        <v>175</v>
      </c>
      <c r="E11">
        <v>150</v>
      </c>
      <c r="F11">
        <v>4350</v>
      </c>
    </row>
    <row r="12" spans="1:6" x14ac:dyDescent="0.2">
      <c r="A12">
        <v>111</v>
      </c>
      <c r="B12" t="s">
        <v>157</v>
      </c>
      <c r="C12" t="s">
        <v>156</v>
      </c>
      <c r="D12" t="s">
        <v>155</v>
      </c>
      <c r="E12">
        <v>150</v>
      </c>
      <c r="F12">
        <v>1350</v>
      </c>
    </row>
    <row r="13" spans="1:6" x14ac:dyDescent="0.2">
      <c r="A13">
        <v>112</v>
      </c>
      <c r="B13" t="s">
        <v>178</v>
      </c>
      <c r="C13" t="s">
        <v>177</v>
      </c>
      <c r="D13" t="s">
        <v>175</v>
      </c>
      <c r="E13">
        <v>190</v>
      </c>
      <c r="F13">
        <v>3295</v>
      </c>
    </row>
    <row r="14" spans="1:6" x14ac:dyDescent="0.2">
      <c r="A14">
        <v>113</v>
      </c>
      <c r="B14" t="s">
        <v>186</v>
      </c>
      <c r="C14" t="s">
        <v>188</v>
      </c>
      <c r="D14" t="s">
        <v>187</v>
      </c>
      <c r="E14">
        <v>200</v>
      </c>
      <c r="F14">
        <v>3980</v>
      </c>
    </row>
    <row r="15" spans="1:6" x14ac:dyDescent="0.2">
      <c r="A15">
        <v>114</v>
      </c>
      <c r="B15" t="s">
        <v>186</v>
      </c>
      <c r="C15" t="s">
        <v>185</v>
      </c>
      <c r="D15" t="s">
        <v>179</v>
      </c>
      <c r="E15">
        <v>175</v>
      </c>
      <c r="F15">
        <v>4290</v>
      </c>
    </row>
    <row r="16" spans="1:6" x14ac:dyDescent="0.2">
      <c r="A16">
        <v>115</v>
      </c>
      <c r="B16" t="s">
        <v>174</v>
      </c>
      <c r="C16" t="s">
        <v>173</v>
      </c>
      <c r="D16" t="s">
        <v>170</v>
      </c>
      <c r="E16">
        <v>250</v>
      </c>
      <c r="F16">
        <v>2750</v>
      </c>
    </row>
    <row r="17" spans="1:12" x14ac:dyDescent="0.2">
      <c r="A17">
        <v>116</v>
      </c>
      <c r="B17" t="s">
        <v>181</v>
      </c>
      <c r="C17" t="s">
        <v>180</v>
      </c>
      <c r="D17" t="s">
        <v>179</v>
      </c>
      <c r="E17">
        <v>250</v>
      </c>
      <c r="F17">
        <v>2850</v>
      </c>
    </row>
    <row r="18" spans="1:12" x14ac:dyDescent="0.2">
      <c r="A18">
        <v>117</v>
      </c>
      <c r="B18" t="s">
        <v>163</v>
      </c>
      <c r="C18" t="s">
        <v>162</v>
      </c>
      <c r="D18" t="s">
        <v>161</v>
      </c>
      <c r="E18">
        <v>150</v>
      </c>
      <c r="F18">
        <v>1590</v>
      </c>
    </row>
    <row r="19" spans="1:12" x14ac:dyDescent="0.2">
      <c r="A19">
        <v>118</v>
      </c>
      <c r="B19" t="s">
        <v>166</v>
      </c>
      <c r="C19" t="s">
        <v>165</v>
      </c>
      <c r="D19" t="s">
        <v>164</v>
      </c>
      <c r="E19">
        <v>125</v>
      </c>
      <c r="F19">
        <v>1780</v>
      </c>
    </row>
    <row r="20" spans="1:12" x14ac:dyDescent="0.2">
      <c r="A20">
        <v>119</v>
      </c>
      <c r="B20" t="s">
        <v>191</v>
      </c>
      <c r="C20" t="s">
        <v>203</v>
      </c>
      <c r="D20" t="s">
        <v>202</v>
      </c>
      <c r="E20">
        <v>110</v>
      </c>
      <c r="F20">
        <v>1999</v>
      </c>
    </row>
    <row r="21" spans="1:12" x14ac:dyDescent="0.2">
      <c r="A21">
        <v>120</v>
      </c>
      <c r="B21" t="s">
        <v>191</v>
      </c>
      <c r="C21" t="s">
        <v>190</v>
      </c>
      <c r="D21" t="s">
        <v>189</v>
      </c>
      <c r="E21">
        <v>160</v>
      </c>
      <c r="F21">
        <v>2680</v>
      </c>
    </row>
    <row r="22" spans="1:12" x14ac:dyDescent="0.2">
      <c r="I22" s="3"/>
      <c r="J22" s="3"/>
      <c r="L22" s="3"/>
    </row>
  </sheetData>
  <sortState xmlns:xlrd2="http://schemas.microsoft.com/office/spreadsheetml/2017/richdata2" ref="A2:F21">
    <sortCondition ref="B2:B2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77BE7-1624-42DE-8E55-915C8DA696C4}">
  <sheetPr codeName="Sheet3"/>
  <dimension ref="A1:C75"/>
  <sheetViews>
    <sheetView tabSelected="1" workbookViewId="0">
      <selection activeCell="B6" sqref="B6"/>
    </sheetView>
  </sheetViews>
  <sheetFormatPr baseColWidth="10" defaultColWidth="8.83203125" defaultRowHeight="15" x14ac:dyDescent="0.2"/>
  <sheetData>
    <row r="1" spans="1:3" x14ac:dyDescent="0.2">
      <c r="A1" t="s">
        <v>209</v>
      </c>
      <c r="B1" t="s">
        <v>215</v>
      </c>
      <c r="C1" t="s">
        <v>214</v>
      </c>
    </row>
    <row r="2" spans="1:3" x14ac:dyDescent="0.2">
      <c r="A2">
        <v>101</v>
      </c>
      <c r="B2">
        <v>5</v>
      </c>
      <c r="C2">
        <v>3</v>
      </c>
    </row>
    <row r="3" spans="1:3" x14ac:dyDescent="0.2">
      <c r="A3">
        <v>101</v>
      </c>
      <c r="B3">
        <v>7</v>
      </c>
      <c r="C3">
        <v>7</v>
      </c>
    </row>
    <row r="4" spans="1:3" x14ac:dyDescent="0.2">
      <c r="A4">
        <v>101</v>
      </c>
      <c r="B4">
        <v>10</v>
      </c>
      <c r="C4">
        <v>2</v>
      </c>
    </row>
    <row r="5" spans="1:3" x14ac:dyDescent="0.2">
      <c r="A5">
        <v>102</v>
      </c>
      <c r="B5">
        <v>5</v>
      </c>
      <c r="C5">
        <v>6</v>
      </c>
    </row>
    <row r="6" spans="1:3" x14ac:dyDescent="0.2">
      <c r="A6">
        <v>102</v>
      </c>
      <c r="B6">
        <v>6</v>
      </c>
      <c r="C6">
        <v>3</v>
      </c>
    </row>
    <row r="7" spans="1:3" x14ac:dyDescent="0.2">
      <c r="A7">
        <v>102</v>
      </c>
      <c r="B7">
        <v>10</v>
      </c>
      <c r="C7">
        <v>6</v>
      </c>
    </row>
    <row r="8" spans="1:3" x14ac:dyDescent="0.2">
      <c r="A8">
        <v>102</v>
      </c>
      <c r="B8">
        <v>11</v>
      </c>
      <c r="C8">
        <v>10</v>
      </c>
    </row>
    <row r="9" spans="1:3" x14ac:dyDescent="0.2">
      <c r="A9">
        <v>102</v>
      </c>
      <c r="B9">
        <v>12</v>
      </c>
      <c r="C9">
        <v>6</v>
      </c>
    </row>
    <row r="10" spans="1:3" x14ac:dyDescent="0.2">
      <c r="A10">
        <v>102</v>
      </c>
      <c r="B10">
        <v>13</v>
      </c>
      <c r="C10">
        <v>7</v>
      </c>
    </row>
    <row r="11" spans="1:3" x14ac:dyDescent="0.2">
      <c r="A11">
        <v>103</v>
      </c>
      <c r="B11">
        <v>5</v>
      </c>
      <c r="C11">
        <v>1</v>
      </c>
    </row>
    <row r="12" spans="1:3" x14ac:dyDescent="0.2">
      <c r="A12">
        <v>103</v>
      </c>
      <c r="B12">
        <v>8</v>
      </c>
      <c r="C12">
        <v>1</v>
      </c>
    </row>
    <row r="13" spans="1:3" x14ac:dyDescent="0.2">
      <c r="A13">
        <v>103</v>
      </c>
      <c r="B13">
        <v>12</v>
      </c>
      <c r="C13">
        <v>9</v>
      </c>
    </row>
    <row r="14" spans="1:3" x14ac:dyDescent="0.2">
      <c r="A14">
        <v>103</v>
      </c>
      <c r="B14">
        <v>13</v>
      </c>
      <c r="C14">
        <v>1</v>
      </c>
    </row>
    <row r="15" spans="1:3" x14ac:dyDescent="0.2">
      <c r="A15">
        <v>104</v>
      </c>
      <c r="B15">
        <v>6</v>
      </c>
      <c r="C15">
        <v>10</v>
      </c>
    </row>
    <row r="16" spans="1:3" x14ac:dyDescent="0.2">
      <c r="A16">
        <v>104</v>
      </c>
      <c r="B16">
        <v>7</v>
      </c>
      <c r="C16">
        <v>4</v>
      </c>
    </row>
    <row r="17" spans="1:3" x14ac:dyDescent="0.2">
      <c r="A17">
        <v>104</v>
      </c>
      <c r="B17">
        <v>8</v>
      </c>
      <c r="C17">
        <v>5</v>
      </c>
    </row>
    <row r="18" spans="1:3" x14ac:dyDescent="0.2">
      <c r="A18">
        <v>104</v>
      </c>
      <c r="B18">
        <v>9</v>
      </c>
      <c r="C18">
        <v>8</v>
      </c>
    </row>
    <row r="19" spans="1:3" x14ac:dyDescent="0.2">
      <c r="A19">
        <v>104</v>
      </c>
      <c r="B19">
        <v>10</v>
      </c>
      <c r="C19">
        <v>3</v>
      </c>
    </row>
    <row r="20" spans="1:3" x14ac:dyDescent="0.2">
      <c r="A20">
        <v>104</v>
      </c>
      <c r="B20">
        <v>13</v>
      </c>
      <c r="C20">
        <v>9</v>
      </c>
    </row>
    <row r="21" spans="1:3" x14ac:dyDescent="0.2">
      <c r="A21">
        <v>105</v>
      </c>
      <c r="B21">
        <v>11</v>
      </c>
      <c r="C21">
        <v>4</v>
      </c>
    </row>
    <row r="22" spans="1:3" x14ac:dyDescent="0.2">
      <c r="A22">
        <v>105</v>
      </c>
      <c r="B22">
        <v>12</v>
      </c>
      <c r="C22">
        <v>5</v>
      </c>
    </row>
    <row r="23" spans="1:3" x14ac:dyDescent="0.2">
      <c r="A23">
        <v>105</v>
      </c>
      <c r="B23">
        <v>13</v>
      </c>
      <c r="C23">
        <v>2</v>
      </c>
    </row>
    <row r="24" spans="1:3" x14ac:dyDescent="0.2">
      <c r="A24">
        <v>106</v>
      </c>
      <c r="B24">
        <v>11</v>
      </c>
      <c r="C24">
        <v>3</v>
      </c>
    </row>
    <row r="25" spans="1:3" x14ac:dyDescent="0.2">
      <c r="A25">
        <v>107</v>
      </c>
      <c r="B25">
        <v>5</v>
      </c>
      <c r="C25">
        <v>1</v>
      </c>
    </row>
    <row r="26" spans="1:3" x14ac:dyDescent="0.2">
      <c r="A26">
        <v>107</v>
      </c>
      <c r="B26">
        <v>7</v>
      </c>
      <c r="C26">
        <v>1</v>
      </c>
    </row>
    <row r="27" spans="1:3" x14ac:dyDescent="0.2">
      <c r="A27">
        <v>107</v>
      </c>
      <c r="B27">
        <v>9</v>
      </c>
      <c r="C27">
        <v>10</v>
      </c>
    </row>
    <row r="28" spans="1:3" x14ac:dyDescent="0.2">
      <c r="A28">
        <v>107</v>
      </c>
      <c r="B28">
        <v>10</v>
      </c>
      <c r="C28">
        <v>3</v>
      </c>
    </row>
    <row r="29" spans="1:3" x14ac:dyDescent="0.2">
      <c r="A29">
        <v>108</v>
      </c>
      <c r="B29">
        <v>5</v>
      </c>
      <c r="C29">
        <v>8</v>
      </c>
    </row>
    <row r="30" spans="1:3" x14ac:dyDescent="0.2">
      <c r="A30">
        <v>108</v>
      </c>
      <c r="B30">
        <v>6</v>
      </c>
      <c r="C30">
        <v>1</v>
      </c>
    </row>
    <row r="31" spans="1:3" x14ac:dyDescent="0.2">
      <c r="A31">
        <v>108</v>
      </c>
      <c r="B31">
        <v>7</v>
      </c>
      <c r="C31">
        <v>9</v>
      </c>
    </row>
    <row r="32" spans="1:3" x14ac:dyDescent="0.2">
      <c r="A32">
        <v>108</v>
      </c>
      <c r="B32">
        <v>9</v>
      </c>
      <c r="C32">
        <v>10</v>
      </c>
    </row>
    <row r="33" spans="1:3" x14ac:dyDescent="0.2">
      <c r="A33">
        <v>108</v>
      </c>
      <c r="B33">
        <v>11</v>
      </c>
      <c r="C33">
        <v>1</v>
      </c>
    </row>
    <row r="34" spans="1:3" x14ac:dyDescent="0.2">
      <c r="A34">
        <v>108</v>
      </c>
      <c r="B34">
        <v>13</v>
      </c>
      <c r="C34">
        <v>7</v>
      </c>
    </row>
    <row r="35" spans="1:3" x14ac:dyDescent="0.2">
      <c r="A35">
        <v>109</v>
      </c>
      <c r="B35">
        <v>12</v>
      </c>
      <c r="C35">
        <v>2</v>
      </c>
    </row>
    <row r="36" spans="1:3" x14ac:dyDescent="0.2">
      <c r="A36">
        <v>110</v>
      </c>
      <c r="B36">
        <v>5</v>
      </c>
      <c r="C36">
        <v>1</v>
      </c>
    </row>
    <row r="37" spans="1:3" x14ac:dyDescent="0.2">
      <c r="A37">
        <v>110</v>
      </c>
      <c r="B37">
        <v>6</v>
      </c>
      <c r="C37">
        <v>2</v>
      </c>
    </row>
    <row r="38" spans="1:3" x14ac:dyDescent="0.2">
      <c r="A38">
        <v>111</v>
      </c>
      <c r="B38">
        <v>11</v>
      </c>
      <c r="C38">
        <v>8</v>
      </c>
    </row>
    <row r="39" spans="1:3" x14ac:dyDescent="0.2">
      <c r="A39">
        <v>111</v>
      </c>
      <c r="B39">
        <v>12</v>
      </c>
      <c r="C39">
        <v>10</v>
      </c>
    </row>
    <row r="40" spans="1:3" x14ac:dyDescent="0.2">
      <c r="A40">
        <v>111</v>
      </c>
      <c r="B40">
        <v>13</v>
      </c>
      <c r="C40">
        <v>4</v>
      </c>
    </row>
    <row r="41" spans="1:3" x14ac:dyDescent="0.2">
      <c r="A41">
        <v>112</v>
      </c>
      <c r="B41">
        <v>6</v>
      </c>
      <c r="C41">
        <v>7</v>
      </c>
    </row>
    <row r="42" spans="1:3" x14ac:dyDescent="0.2">
      <c r="A42">
        <v>112</v>
      </c>
      <c r="B42">
        <v>7</v>
      </c>
      <c r="C42">
        <v>5</v>
      </c>
    </row>
    <row r="43" spans="1:3" x14ac:dyDescent="0.2">
      <c r="A43">
        <v>112</v>
      </c>
      <c r="B43">
        <v>9</v>
      </c>
      <c r="C43">
        <v>3</v>
      </c>
    </row>
    <row r="44" spans="1:3" x14ac:dyDescent="0.2">
      <c r="A44">
        <v>112</v>
      </c>
      <c r="B44">
        <v>12</v>
      </c>
      <c r="C44">
        <v>2</v>
      </c>
    </row>
    <row r="45" spans="1:3" x14ac:dyDescent="0.2">
      <c r="A45">
        <v>112</v>
      </c>
      <c r="B45">
        <v>13</v>
      </c>
      <c r="C45">
        <v>1</v>
      </c>
    </row>
    <row r="46" spans="1:3" x14ac:dyDescent="0.2">
      <c r="A46">
        <v>113</v>
      </c>
      <c r="B46">
        <v>6</v>
      </c>
      <c r="C46">
        <v>4</v>
      </c>
    </row>
    <row r="47" spans="1:3" x14ac:dyDescent="0.2">
      <c r="A47">
        <v>113</v>
      </c>
      <c r="B47">
        <v>8</v>
      </c>
      <c r="C47">
        <v>6</v>
      </c>
    </row>
    <row r="48" spans="1:3" x14ac:dyDescent="0.2">
      <c r="A48">
        <v>113</v>
      </c>
      <c r="B48">
        <v>10</v>
      </c>
      <c r="C48">
        <v>9</v>
      </c>
    </row>
    <row r="49" spans="1:3" x14ac:dyDescent="0.2">
      <c r="A49">
        <v>113</v>
      </c>
      <c r="B49">
        <v>11</v>
      </c>
      <c r="C49">
        <v>5</v>
      </c>
    </row>
    <row r="50" spans="1:3" x14ac:dyDescent="0.2">
      <c r="A50">
        <v>114</v>
      </c>
      <c r="B50">
        <v>8</v>
      </c>
      <c r="C50">
        <v>9</v>
      </c>
    </row>
    <row r="51" spans="1:3" x14ac:dyDescent="0.2">
      <c r="A51">
        <v>114</v>
      </c>
      <c r="B51">
        <v>9</v>
      </c>
      <c r="C51">
        <v>5</v>
      </c>
    </row>
    <row r="52" spans="1:3" x14ac:dyDescent="0.2">
      <c r="A52">
        <v>114</v>
      </c>
      <c r="B52">
        <v>10</v>
      </c>
      <c r="C52">
        <v>9</v>
      </c>
    </row>
    <row r="53" spans="1:3" x14ac:dyDescent="0.2">
      <c r="A53">
        <v>115</v>
      </c>
      <c r="B53">
        <v>11</v>
      </c>
      <c r="C53">
        <v>8</v>
      </c>
    </row>
    <row r="54" spans="1:3" x14ac:dyDescent="0.2">
      <c r="A54">
        <v>115</v>
      </c>
      <c r="B54">
        <v>13</v>
      </c>
      <c r="C54">
        <v>3</v>
      </c>
    </row>
    <row r="55" spans="1:3" x14ac:dyDescent="0.2">
      <c r="A55">
        <v>116</v>
      </c>
      <c r="B55">
        <v>9</v>
      </c>
      <c r="C55">
        <v>3</v>
      </c>
    </row>
    <row r="56" spans="1:3" x14ac:dyDescent="0.2">
      <c r="A56">
        <v>117</v>
      </c>
      <c r="B56">
        <v>5</v>
      </c>
      <c r="C56">
        <v>6</v>
      </c>
    </row>
    <row r="57" spans="1:3" x14ac:dyDescent="0.2">
      <c r="A57">
        <v>117</v>
      </c>
      <c r="B57">
        <v>6</v>
      </c>
      <c r="C57">
        <v>10</v>
      </c>
    </row>
    <row r="58" spans="1:3" x14ac:dyDescent="0.2">
      <c r="A58">
        <v>117</v>
      </c>
      <c r="B58">
        <v>7</v>
      </c>
      <c r="C58">
        <v>4</v>
      </c>
    </row>
    <row r="59" spans="1:3" x14ac:dyDescent="0.2">
      <c r="A59">
        <v>117</v>
      </c>
      <c r="B59">
        <v>8</v>
      </c>
      <c r="C59">
        <v>3</v>
      </c>
    </row>
    <row r="60" spans="1:3" x14ac:dyDescent="0.2">
      <c r="A60">
        <v>117</v>
      </c>
      <c r="B60">
        <v>9</v>
      </c>
      <c r="C60">
        <v>10</v>
      </c>
    </row>
    <row r="61" spans="1:3" x14ac:dyDescent="0.2">
      <c r="A61">
        <v>117</v>
      </c>
      <c r="B61">
        <v>10</v>
      </c>
      <c r="C61">
        <v>3</v>
      </c>
    </row>
    <row r="62" spans="1:3" x14ac:dyDescent="0.2">
      <c r="A62">
        <v>117</v>
      </c>
      <c r="B62">
        <v>11</v>
      </c>
      <c r="C62">
        <v>3</v>
      </c>
    </row>
    <row r="63" spans="1:3" x14ac:dyDescent="0.2">
      <c r="A63">
        <v>117</v>
      </c>
      <c r="B63">
        <v>12</v>
      </c>
      <c r="C63">
        <v>8</v>
      </c>
    </row>
    <row r="64" spans="1:3" x14ac:dyDescent="0.2">
      <c r="A64">
        <v>118</v>
      </c>
      <c r="B64">
        <v>5</v>
      </c>
      <c r="C64">
        <v>10</v>
      </c>
    </row>
    <row r="65" spans="1:3" x14ac:dyDescent="0.2">
      <c r="A65">
        <v>118</v>
      </c>
      <c r="B65">
        <v>7</v>
      </c>
      <c r="C65">
        <v>3</v>
      </c>
    </row>
    <row r="66" spans="1:3" x14ac:dyDescent="0.2">
      <c r="A66">
        <v>118</v>
      </c>
      <c r="B66">
        <v>10</v>
      </c>
      <c r="C66">
        <v>2</v>
      </c>
    </row>
    <row r="67" spans="1:3" x14ac:dyDescent="0.2">
      <c r="A67">
        <v>119</v>
      </c>
      <c r="B67">
        <v>6</v>
      </c>
      <c r="C67">
        <v>9</v>
      </c>
    </row>
    <row r="68" spans="1:3" x14ac:dyDescent="0.2">
      <c r="A68">
        <v>119</v>
      </c>
      <c r="B68">
        <v>7</v>
      </c>
      <c r="C68">
        <v>8</v>
      </c>
    </row>
    <row r="69" spans="1:3" x14ac:dyDescent="0.2">
      <c r="A69">
        <v>119</v>
      </c>
      <c r="B69">
        <v>8</v>
      </c>
      <c r="C69">
        <v>9</v>
      </c>
    </row>
    <row r="70" spans="1:3" x14ac:dyDescent="0.2">
      <c r="A70">
        <v>119</v>
      </c>
      <c r="B70">
        <v>9</v>
      </c>
      <c r="C70">
        <v>2</v>
      </c>
    </row>
    <row r="71" spans="1:3" x14ac:dyDescent="0.2">
      <c r="A71">
        <v>119</v>
      </c>
      <c r="B71">
        <v>10</v>
      </c>
      <c r="C71">
        <v>8</v>
      </c>
    </row>
    <row r="72" spans="1:3" x14ac:dyDescent="0.2">
      <c r="A72">
        <v>120</v>
      </c>
      <c r="B72">
        <v>7</v>
      </c>
      <c r="C72">
        <v>3</v>
      </c>
    </row>
    <row r="73" spans="1:3" x14ac:dyDescent="0.2">
      <c r="A73">
        <v>120</v>
      </c>
      <c r="B73">
        <v>10</v>
      </c>
      <c r="C73">
        <v>4</v>
      </c>
    </row>
    <row r="74" spans="1:3" x14ac:dyDescent="0.2">
      <c r="A74">
        <v>120</v>
      </c>
      <c r="B74">
        <v>11</v>
      </c>
      <c r="C74">
        <v>6</v>
      </c>
    </row>
    <row r="75" spans="1:3" x14ac:dyDescent="0.2">
      <c r="A75">
        <v>120</v>
      </c>
      <c r="B75">
        <v>12</v>
      </c>
      <c r="C7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F0EE9-CE0C-4E54-A43F-1B10ED988838}">
  <sheetPr codeName="Sheet4"/>
  <dimension ref="A1:J11"/>
  <sheetViews>
    <sheetView workbookViewId="0">
      <selection activeCell="A12" sqref="A12:XFD12"/>
    </sheetView>
  </sheetViews>
  <sheetFormatPr baseColWidth="10" defaultColWidth="8.83203125" defaultRowHeight="15" x14ac:dyDescent="0.2"/>
  <cols>
    <col min="1" max="1" width="9" bestFit="1" customWidth="1"/>
    <col min="2" max="2" width="11.6640625" bestFit="1" customWidth="1"/>
    <col min="3" max="3" width="8.33203125" bestFit="1" customWidth="1"/>
    <col min="4" max="4" width="4.83203125" bestFit="1" customWidth="1"/>
    <col min="5" max="5" width="8.6640625" bestFit="1" customWidth="1"/>
    <col min="6" max="7" width="16.33203125" bestFit="1" customWidth="1"/>
    <col min="8" max="8" width="15.6640625" bestFit="1" customWidth="1"/>
    <col min="9" max="9" width="54.6640625" bestFit="1" customWidth="1"/>
    <col min="10" max="10" width="12.6640625" bestFit="1" customWidth="1"/>
  </cols>
  <sheetData>
    <row r="1" spans="1:10" x14ac:dyDescent="0.2">
      <c r="A1" t="s">
        <v>217</v>
      </c>
      <c r="B1" t="s">
        <v>0</v>
      </c>
      <c r="C1" t="s">
        <v>209</v>
      </c>
      <c r="D1" t="s">
        <v>215</v>
      </c>
      <c r="E1" t="s">
        <v>220</v>
      </c>
      <c r="F1" t="s">
        <v>218</v>
      </c>
      <c r="G1" t="s">
        <v>219</v>
      </c>
      <c r="H1" t="s">
        <v>230</v>
      </c>
      <c r="I1" t="s">
        <v>210</v>
      </c>
      <c r="J1" t="s">
        <v>213</v>
      </c>
    </row>
    <row r="2" spans="1:10" x14ac:dyDescent="0.2">
      <c r="A2" t="s">
        <v>225</v>
      </c>
      <c r="B2">
        <v>11203</v>
      </c>
      <c r="C2">
        <v>114</v>
      </c>
      <c r="D2">
        <v>8</v>
      </c>
      <c r="E2">
        <v>1</v>
      </c>
      <c r="F2" s="2">
        <v>44553.479166666664</v>
      </c>
      <c r="G2" s="2">
        <v>44559.375</v>
      </c>
      <c r="H2" t="s">
        <v>211</v>
      </c>
      <c r="I2" t="s">
        <v>212</v>
      </c>
      <c r="J2" s="4">
        <f>175 * 5 + 15</f>
        <v>890</v>
      </c>
    </row>
    <row r="3" spans="1:10" x14ac:dyDescent="0.2">
      <c r="A3" t="s">
        <v>225</v>
      </c>
      <c r="B3">
        <v>11203</v>
      </c>
      <c r="C3">
        <v>113</v>
      </c>
      <c r="D3">
        <v>8</v>
      </c>
      <c r="E3">
        <v>1</v>
      </c>
      <c r="F3" s="2">
        <v>44553.479166666664</v>
      </c>
      <c r="G3" s="2">
        <v>44561.4375</v>
      </c>
      <c r="H3" t="s">
        <v>211</v>
      </c>
      <c r="I3" t="s">
        <v>212</v>
      </c>
      <c r="J3" s="4">
        <f>200 * 7 + 15</f>
        <v>1415</v>
      </c>
    </row>
    <row r="4" spans="1:10" x14ac:dyDescent="0.2">
      <c r="A4" t="s">
        <v>227</v>
      </c>
      <c r="B4">
        <v>11218</v>
      </c>
      <c r="C4">
        <v>106</v>
      </c>
      <c r="D4">
        <v>11</v>
      </c>
      <c r="E4">
        <v>2</v>
      </c>
      <c r="F4" s="2">
        <v>44484.416666666664</v>
      </c>
      <c r="G4" s="2">
        <v>44494.395833333336</v>
      </c>
      <c r="H4" t="s">
        <v>211</v>
      </c>
      <c r="I4" t="s">
        <v>216</v>
      </c>
      <c r="J4" s="4">
        <f>100 * 9 + 15</f>
        <v>915</v>
      </c>
    </row>
    <row r="5" spans="1:10" x14ac:dyDescent="0.2">
      <c r="A5" t="s">
        <v>228</v>
      </c>
      <c r="B5">
        <v>11207</v>
      </c>
      <c r="C5">
        <v>116</v>
      </c>
      <c r="D5">
        <v>9</v>
      </c>
      <c r="E5">
        <v>1</v>
      </c>
      <c r="F5" s="2">
        <v>44605.583333333336</v>
      </c>
      <c r="G5" s="2">
        <v>44617.541666666664</v>
      </c>
      <c r="H5" t="s">
        <v>221</v>
      </c>
      <c r="I5" t="s">
        <v>222</v>
      </c>
      <c r="J5" s="4">
        <f>250 * 13 + 15</f>
        <v>3265</v>
      </c>
    </row>
    <row r="6" spans="1:10" x14ac:dyDescent="0.2">
      <c r="A6" t="s">
        <v>228</v>
      </c>
      <c r="B6">
        <v>11207</v>
      </c>
      <c r="C6">
        <v>108</v>
      </c>
      <c r="D6">
        <v>13</v>
      </c>
      <c r="E6">
        <v>3</v>
      </c>
      <c r="F6" s="2">
        <v>44605.583333333336</v>
      </c>
      <c r="G6" s="2">
        <v>44617.541666666664</v>
      </c>
      <c r="H6" t="s">
        <v>211</v>
      </c>
      <c r="I6" t="s">
        <v>223</v>
      </c>
      <c r="J6" s="4">
        <f>199 * 13 + 15</f>
        <v>2602</v>
      </c>
    </row>
    <row r="7" spans="1:10" x14ac:dyDescent="0.2">
      <c r="A7" t="s">
        <v>228</v>
      </c>
      <c r="B7">
        <v>11207</v>
      </c>
      <c r="C7">
        <v>113</v>
      </c>
      <c r="D7">
        <v>10</v>
      </c>
      <c r="E7">
        <v>1</v>
      </c>
      <c r="F7" s="2">
        <v>44605.583333333336</v>
      </c>
      <c r="G7" s="2">
        <v>44617.541666666664</v>
      </c>
      <c r="H7" t="s">
        <v>211</v>
      </c>
      <c r="I7" t="s">
        <v>224</v>
      </c>
      <c r="J7" s="4">
        <f>200 * 13 + 15</f>
        <v>2615</v>
      </c>
    </row>
    <row r="8" spans="1:10" x14ac:dyDescent="0.2">
      <c r="A8" t="s">
        <v>229</v>
      </c>
      <c r="B8">
        <v>11213</v>
      </c>
      <c r="C8">
        <v>105</v>
      </c>
      <c r="D8">
        <v>11</v>
      </c>
      <c r="E8">
        <v>1</v>
      </c>
      <c r="F8" s="2">
        <v>44638.375</v>
      </c>
      <c r="G8" s="3"/>
      <c r="H8" s="3"/>
      <c r="I8" t="s">
        <v>226</v>
      </c>
      <c r="J8" s="5"/>
    </row>
    <row r="9" spans="1:10" x14ac:dyDescent="0.2">
      <c r="A9" t="s">
        <v>229</v>
      </c>
      <c r="B9">
        <v>11213</v>
      </c>
      <c r="C9">
        <v>105</v>
      </c>
      <c r="D9">
        <v>12</v>
      </c>
      <c r="E9">
        <v>1</v>
      </c>
      <c r="F9" s="2">
        <v>44638.375</v>
      </c>
      <c r="G9" s="3"/>
      <c r="H9" s="3"/>
      <c r="I9" t="s">
        <v>231</v>
      </c>
      <c r="J9" s="5"/>
    </row>
    <row r="10" spans="1:10" x14ac:dyDescent="0.2">
      <c r="A10" t="s">
        <v>235</v>
      </c>
      <c r="B10">
        <v>11209</v>
      </c>
      <c r="C10">
        <v>105</v>
      </c>
      <c r="D10">
        <v>13</v>
      </c>
      <c r="E10">
        <v>1</v>
      </c>
      <c r="F10" s="2">
        <v>44652.666666666664</v>
      </c>
      <c r="G10" s="3"/>
      <c r="H10" s="3"/>
      <c r="I10" t="s">
        <v>232</v>
      </c>
      <c r="J10" s="5"/>
    </row>
    <row r="11" spans="1:10" x14ac:dyDescent="0.2">
      <c r="A11" t="s">
        <v>234</v>
      </c>
      <c r="B11">
        <v>11220</v>
      </c>
      <c r="C11">
        <v>119</v>
      </c>
      <c r="D11">
        <v>6</v>
      </c>
      <c r="E11">
        <v>1</v>
      </c>
      <c r="F11" s="2">
        <v>44701.583333333336</v>
      </c>
      <c r="G11" s="3"/>
      <c r="H11" s="3"/>
      <c r="I11" t="s">
        <v>233</v>
      </c>
      <c r="J11" s="5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Customer</vt:lpstr>
      <vt:lpstr>Dress</vt:lpstr>
      <vt:lpstr>Quantity</vt:lpstr>
      <vt:lpstr>Rental</vt:lpstr>
      <vt:lpstr>Customer</vt:lpstr>
      <vt:lpstr>Dress</vt:lpstr>
      <vt:lpstr>Rental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Chan</dc:creator>
  <cp:lastModifiedBy>Phuong Do</cp:lastModifiedBy>
  <dcterms:created xsi:type="dcterms:W3CDTF">2022-08-29T12:05:27Z</dcterms:created>
  <dcterms:modified xsi:type="dcterms:W3CDTF">2022-09-18T06:40:07Z</dcterms:modified>
</cp:coreProperties>
</file>